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Google Ads" sheetId="2" state="visible" r:id="rId2"/>
    <sheet xmlns:r="http://schemas.openxmlformats.org/officeDocument/2006/relationships" name="Meta Ads" sheetId="3" state="visible" r:id="rId3"/>
    <sheet xmlns:r="http://schemas.openxmlformats.org/officeDocument/2006/relationships" name="Content &amp; SE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&quot;$&quot;#,##0"/>
    <numFmt numFmtId="165" formatCode="&quot;$&quot;#,##0.00"/>
    <numFmt numFmtId="166" formatCode="0.0%"/>
    <numFmt numFmtId="167" formatCode="#,##0.0"/>
    <numFmt numFmtId="168" formatCode="0.0&quot;x&quot;"/>
  </numFmts>
  <fonts count="12">
    <font>
      <name val="Calibri"/>
      <family val="2"/>
      <color theme="1"/>
      <sz val="11"/>
      <scheme val="minor"/>
    </font>
    <font>
      <name val="Calibri"/>
      <b val="1"/>
      <color rgb="00121718"/>
      <sz val="16"/>
    </font>
    <font>
      <name val="Calibri"/>
      <i val="1"/>
      <color rgb="00666666"/>
      <sz val="9"/>
    </font>
    <font>
      <name val="Calibri"/>
      <b val="1"/>
      <color rgb="001B9B5E"/>
      <sz val="12"/>
    </font>
    <font>
      <name val="Calibri"/>
      <b val="1"/>
      <color rgb="00121718"/>
      <sz val="10"/>
    </font>
    <font>
      <name val="Calibri"/>
      <i val="1"/>
      <color rgb="001B9B5E"/>
      <sz val="10"/>
    </font>
    <font>
      <name val="Calibri"/>
      <b val="1"/>
      <color rgb="00FFFFFF"/>
      <sz val="10"/>
    </font>
    <font>
      <name val="Calibri"/>
      <color rgb="00121718"/>
      <sz val="10"/>
    </font>
    <font>
      <name val="Calibri"/>
      <b val="1"/>
      <color rgb="000000FF"/>
      <sz val="10"/>
    </font>
    <font>
      <name val="Calibri"/>
      <color rgb="001B9B5E"/>
      <sz val="10"/>
    </font>
    <font>
      <name val="Calibri"/>
      <b val="1"/>
      <color rgb="001B9B5E"/>
      <sz val="10"/>
    </font>
    <font>
      <name val="Calibri"/>
      <b val="1"/>
      <color rgb="00FFFFFF"/>
      <sz val="9"/>
    </font>
  </fonts>
  <fills count="8">
    <fill>
      <patternFill/>
    </fill>
    <fill>
      <patternFill patternType="gray125"/>
    </fill>
    <fill>
      <patternFill patternType="solid">
        <fgColor rgb="FF121718"/>
        <bgColor rgb="FF121718"/>
      </patternFill>
    </fill>
    <fill>
      <patternFill patternType="solid">
        <fgColor rgb="FFFFFDE7"/>
        <bgColor rgb="FFFFFDE7"/>
      </patternFill>
    </fill>
    <fill>
      <patternFill patternType="solid">
        <fgColor rgb="FFE5F5EC"/>
        <bgColor rgb="FFE5F5EC"/>
      </patternFill>
    </fill>
    <fill>
      <patternFill patternType="solid">
        <fgColor rgb="FFE8F5EF"/>
        <bgColor rgb="FFE8F5EF"/>
      </patternFill>
    </fill>
    <fill>
      <patternFill patternType="solid">
        <fgColor rgb="FF1B9B5E"/>
        <bgColor rgb="FF1B9B5E"/>
      </patternFill>
    </fill>
    <fill>
      <patternFill patternType="solid">
        <fgColor rgb="FFD4880F"/>
        <bgColor rgb="FFD4880F"/>
      </patternFill>
    </fill>
  </fills>
  <borders count="2">
    <border>
      <left/>
      <right/>
      <top/>
      <bottom/>
      <diagonal/>
    </border>
    <border>
      <left style="thin">
        <color rgb="00A8D9BD"/>
      </left>
      <right style="thin">
        <color rgb="00A8D9BD"/>
      </right>
      <top style="thin">
        <color rgb="00A8D9BD"/>
      </top>
      <bottom style="thin">
        <color rgb="00A8D9BD"/>
      </bottom>
    </border>
  </borders>
  <cellStyleXfs count="1">
    <xf numFmtId="0" fontId="0" fillId="0" borderId="0"/>
  </cellStyleXfs>
  <cellXfs count="2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2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left" vertical="center" wrapText="1"/>
    </xf>
    <xf numFmtId="0" fontId="8" fillId="3" borderId="1" applyAlignment="1" pivotButton="0" quotePrefix="0" xfId="0">
      <alignment horizontal="right" vertical="center" wrapText="1"/>
    </xf>
    <xf numFmtId="0" fontId="2" fillId="0" borderId="1" applyAlignment="1" pivotButton="0" quotePrefix="0" xfId="0">
      <alignment horizontal="left" vertical="center" wrapText="1"/>
    </xf>
    <xf numFmtId="0" fontId="4" fillId="4" borderId="1" applyAlignment="1" pivotButton="0" quotePrefix="0" xfId="0">
      <alignment horizontal="left" vertical="center" wrapText="1"/>
    </xf>
    <xf numFmtId="164" fontId="9" fillId="4" borderId="1" applyAlignment="1" pivotButton="0" quotePrefix="0" xfId="0">
      <alignment horizontal="right" vertical="center" wrapText="1"/>
    </xf>
    <xf numFmtId="164" fontId="10" fillId="4" borderId="1" applyAlignment="1" pivotButton="0" quotePrefix="0" xfId="0">
      <alignment horizontal="right" vertical="center" wrapText="1"/>
    </xf>
    <xf numFmtId="0" fontId="11" fillId="6" borderId="0" pivotButton="0" quotePrefix="0" xfId="0"/>
    <xf numFmtId="164" fontId="9" fillId="5" borderId="1" applyAlignment="1" pivotButton="0" quotePrefix="0" xfId="0">
      <alignment horizontal="right" vertical="center" wrapText="1"/>
    </xf>
    <xf numFmtId="165" fontId="9" fillId="5" borderId="1" applyAlignment="1" pivotButton="0" quotePrefix="0" xfId="0">
      <alignment horizontal="right" vertical="center" wrapText="1"/>
    </xf>
    <xf numFmtId="3" fontId="9" fillId="5" borderId="1" applyAlignment="1" pivotButton="0" quotePrefix="0" xfId="0">
      <alignment horizontal="right" vertical="center" wrapText="1"/>
    </xf>
    <xf numFmtId="166" fontId="9" fillId="5" borderId="1" applyAlignment="1" pivotButton="0" quotePrefix="0" xfId="0">
      <alignment horizontal="right" vertical="center" wrapText="1"/>
    </xf>
    <xf numFmtId="167" fontId="9" fillId="5" borderId="1" applyAlignment="1" pivotButton="0" quotePrefix="0" xfId="0">
      <alignment horizontal="right" vertical="center" wrapText="1"/>
    </xf>
    <xf numFmtId="168" fontId="9" fillId="5" borderId="1" applyAlignment="1" pivotButton="0" quotePrefix="0" xfId="0">
      <alignment horizontal="right" vertical="center" wrapText="1"/>
    </xf>
    <xf numFmtId="0" fontId="11" fillId="7" borderId="0" pivotButton="0" quotePrefix="0" xfId="0"/>
    <xf numFmtId="0" fontId="4" fillId="0" borderId="1" applyAlignment="1" pivotButton="0" quotePrefix="0" xfId="0">
      <alignment horizontal="left" vertical="center" wrapText="1"/>
    </xf>
    <xf numFmtId="164" fontId="8" fillId="3" borderId="1" applyAlignment="1" pivotButton="0" quotePrefix="0" xfId="0">
      <alignment horizontal="right" vertical="center" wrapText="1"/>
    </xf>
    <xf numFmtId="165" fontId="8" fillId="3" borderId="1" applyAlignment="1" pivotButton="0" quotePrefix="0" xfId="0">
      <alignment horizontal="right" vertical="center" wrapText="1"/>
    </xf>
    <xf numFmtId="166" fontId="8" fillId="3" borderId="1" applyAlignment="1" pivotButton="0" quotePrefix="0" xfId="0">
      <alignment horizontal="right" vertical="center" wrapText="1"/>
    </xf>
    <xf numFmtId="3" fontId="8" fillId="3" borderId="1" applyAlignment="1" pivotButton="0" quotePrefix="0" xfId="0">
      <alignment horizontal="right" vertical="center" wrapText="1"/>
    </xf>
    <xf numFmtId="164" fontId="10" fillId="5" borderId="1" applyAlignment="1" pivotButton="0" quotePrefix="0" xfId="0">
      <alignment horizontal="right" vertical="center" wrapText="1"/>
    </xf>
    <xf numFmtId="168" fontId="10" fillId="5" borderId="1" applyAlignment="1" pivotButton="0" quotePrefix="0" xfId="0">
      <alignment horizontal="right" vertical="center" wrapText="1"/>
    </xf>
    <xf numFmtId="3" fontId="9" fillId="4" borderId="1" applyAlignment="1" pivotButton="0" quotePrefix="0" xfId="0">
      <alignment horizontal="righ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B9B5E"/>
    <outlinePr summaryBelow="1" summaryRight="1"/>
    <pageSetUpPr/>
  </sheetPr>
  <dimension ref="A1:E48"/>
  <sheetViews>
    <sheetView workbookViewId="0">
      <selection activeCell="A1" sqref="A1"/>
    </sheetView>
  </sheetViews>
  <sheetFormatPr baseColWidth="8" defaultRowHeight="15"/>
  <cols>
    <col width="28" customWidth="1" min="1" max="1"/>
    <col width="20" customWidth="1" min="2" max="2"/>
    <col width="20" customWidth="1" min="3" max="3"/>
    <col width="20" customWidth="1" min="4" max="4"/>
    <col width="25" customWidth="1" min="5" max="5"/>
  </cols>
  <sheetData>
    <row r="1">
      <c r="A1" s="1" t="inlineStr">
        <is>
          <t>[CLIENT NAME] — CHANNEL STRATEGY SUMMARY</t>
        </is>
      </c>
    </row>
    <row r="2">
      <c r="A2" s="2" t="inlineStr">
        <is>
          <t>Green values = linked from detail tabs. Yellow cells = adjustable inputs.</t>
        </is>
      </c>
    </row>
    <row r="4">
      <c r="A4" s="3" t="inlineStr">
        <is>
          <t>CHANNEL ROLES</t>
        </is>
      </c>
    </row>
    <row r="5">
      <c r="A5" s="4" t="inlineStr">
        <is>
          <t>[Primary Channel 1]</t>
        </is>
      </c>
      <c r="B5" s="5" t="inlineStr">
        <is>
          <t>[Role Title]</t>
        </is>
      </c>
    </row>
    <row r="6">
      <c r="A6" s="2" t="inlineStr">
        <is>
          <t>[Role description — 1-2 sentences]</t>
        </is>
      </c>
    </row>
    <row r="7">
      <c r="A7" s="4" t="inlineStr">
        <is>
          <t>[Primary Channel 2]</t>
        </is>
      </c>
      <c r="B7" s="5" t="inlineStr">
        <is>
          <t>[Role Title]</t>
        </is>
      </c>
    </row>
    <row r="8">
      <c r="A8" s="2" t="inlineStr">
        <is>
          <t>[Role description — 1-2 sentences]</t>
        </is>
      </c>
    </row>
    <row r="9">
      <c r="A9" s="4" t="inlineStr">
        <is>
          <t>[Supporting Channel]</t>
        </is>
      </c>
      <c r="B9" s="5" t="inlineStr">
        <is>
          <t>[Role Title]</t>
        </is>
      </c>
    </row>
    <row r="10">
      <c r="A10" s="2" t="inlineStr">
        <is>
          <t>[Role description — 1-2 sentences]</t>
        </is>
      </c>
    </row>
    <row r="12">
      <c r="A12" s="3" t="inlineStr">
        <is>
          <t>INVESTMENT OVERVIEW</t>
        </is>
      </c>
    </row>
    <row r="13">
      <c r="A13" s="6" t="inlineStr">
        <is>
          <t>Channel</t>
        </is>
      </c>
      <c r="B13" s="6" t="inlineStr">
        <is>
          <t>Monthly Retainer</t>
        </is>
      </c>
      <c r="C13" s="6" t="inlineStr">
        <is>
          <t>Monthly Ad Spend</t>
        </is>
      </c>
      <c r="D13" s="6" t="inlineStr">
        <is>
          <t>Total Monthly</t>
        </is>
      </c>
      <c r="E13" s="6" t="inlineStr">
        <is>
          <t>Notes</t>
        </is>
      </c>
    </row>
    <row r="14">
      <c r="A14" s="7" t="inlineStr">
        <is>
          <t>[Channel 1]</t>
        </is>
      </c>
      <c r="B14" s="8" t="inlineStr">
        <is>
          <t>[retainer]</t>
        </is>
      </c>
      <c r="C14" s="8" t="inlineStr">
        <is>
          <t>[ad spend]</t>
        </is>
      </c>
      <c r="D14" s="8" t="inlineStr">
        <is>
          <t>[total]</t>
        </is>
      </c>
      <c r="E14" s="9" t="inlineStr">
        <is>
          <t>[notes]</t>
        </is>
      </c>
    </row>
    <row r="15">
      <c r="A15" s="7" t="inlineStr">
        <is>
          <t>[Channel 2]</t>
        </is>
      </c>
      <c r="B15" s="8" t="inlineStr">
        <is>
          <t>[retainer]</t>
        </is>
      </c>
      <c r="C15" s="8" t="inlineStr">
        <is>
          <t>[ad spend]</t>
        </is>
      </c>
      <c r="D15" s="8" t="inlineStr">
        <is>
          <t>[total]</t>
        </is>
      </c>
      <c r="E15" s="9" t="inlineStr">
        <is>
          <t>[notes]</t>
        </is>
      </c>
    </row>
    <row r="16">
      <c r="A16" s="7" t="inlineStr">
        <is>
          <t>[Channel 3]</t>
        </is>
      </c>
      <c r="B16" s="8" t="inlineStr">
        <is>
          <t>[retainer]</t>
        </is>
      </c>
      <c r="C16" s="8" t="inlineStr">
        <is>
          <t>[ad spend]</t>
        </is>
      </c>
      <c r="D16" s="8" t="inlineStr">
        <is>
          <t>[total]</t>
        </is>
      </c>
      <c r="E16" s="9" t="inlineStr">
        <is>
          <t>[notes]</t>
        </is>
      </c>
    </row>
    <row r="17">
      <c r="A17" s="10" t="inlineStr">
        <is>
          <t>TOTAL</t>
        </is>
      </c>
      <c r="B17" s="11">
        <f>SUM(B14:B16)</f>
        <v/>
      </c>
      <c r="C17" s="11">
        <f>SUM(C14:C16)</f>
        <v/>
      </c>
      <c r="D17" s="12">
        <f>SUM(D14:D16)</f>
        <v/>
      </c>
    </row>
    <row r="19">
      <c r="A19" s="3" t="inlineStr">
        <is>
          <t>GOOGLE ADS PROJECTED PERFORMANCE</t>
        </is>
      </c>
      <c r="C19" s="13" t="inlineStr">
        <is>
          <t>DATA-BACKED ESTIMATE</t>
        </is>
      </c>
    </row>
    <row r="20">
      <c r="A20" s="6" t="inlineStr">
        <is>
          <t>Metric</t>
        </is>
      </c>
      <c r="B20" s="6" t="inlineStr">
        <is>
          <t>[Service Line 1]</t>
        </is>
      </c>
      <c r="C20" s="6" t="inlineStr">
        <is>
          <t>[Service Line 2]</t>
        </is>
      </c>
    </row>
    <row r="21">
      <c r="A21" s="7" t="inlineStr">
        <is>
          <t>Monthly Ad Budget</t>
        </is>
      </c>
      <c r="B21" s="14">
        <f>'Google Ads'!B9</f>
        <v/>
      </c>
      <c r="C21" s="14">
        <f>'Google Ads'!C9</f>
        <v/>
      </c>
    </row>
    <row r="22">
      <c r="A22" s="7" t="inlineStr">
        <is>
          <t>Avg CPC</t>
        </is>
      </c>
      <c r="B22" s="15">
        <f>'Google Ads'!B8</f>
        <v/>
      </c>
      <c r="C22" s="15">
        <f>'Google Ads'!C8</f>
        <v/>
      </c>
    </row>
    <row r="23">
      <c r="A23" s="7" t="inlineStr">
        <is>
          <t>Monthly Clicks</t>
        </is>
      </c>
      <c r="B23" s="16">
        <f>'Google Ads'!B20</f>
        <v/>
      </c>
      <c r="C23" s="16">
        <f>'Google Ads'!C20</f>
        <v/>
      </c>
    </row>
    <row r="24">
      <c r="A24" s="7" t="inlineStr">
        <is>
          <t>LP Conversion Rate</t>
        </is>
      </c>
      <c r="B24" s="17">
        <f>'Google Ads'!B10</f>
        <v/>
      </c>
      <c r="C24" s="17">
        <f>'Google Ads'!C10</f>
        <v/>
      </c>
    </row>
    <row r="25">
      <c r="A25" s="7" t="inlineStr">
        <is>
          <t>Monthly Leads</t>
        </is>
      </c>
      <c r="B25" s="18">
        <f>'Google Ads'!B21</f>
        <v/>
      </c>
      <c r="C25" s="18">
        <f>'Google Ads'!C21</f>
        <v/>
      </c>
    </row>
    <row r="26">
      <c r="A26" s="7" t="inlineStr">
        <is>
          <t>Sales Closing Rate</t>
        </is>
      </c>
      <c r="B26" s="17">
        <f>'Google Ads'!B11</f>
        <v/>
      </c>
      <c r="C26" s="17">
        <f>'Google Ads'!C11</f>
        <v/>
      </c>
    </row>
    <row r="27">
      <c r="A27" s="7" t="inlineStr">
        <is>
          <t>New Clients/Month</t>
        </is>
      </c>
      <c r="B27" s="18">
        <f>'Google Ads'!B23</f>
        <v/>
      </c>
      <c r="C27" s="18">
        <f>'Google Ads'!C23</f>
        <v/>
      </c>
    </row>
    <row r="28">
      <c r="A28" s="7" t="inlineStr">
        <is>
          <t>Monthly Revenue</t>
        </is>
      </c>
      <c r="B28" s="14">
        <f>'Google Ads'!B27</f>
        <v/>
      </c>
      <c r="C28" s="14">
        <f>'Google Ads'!C27</f>
        <v/>
      </c>
    </row>
    <row r="29">
      <c r="A29" s="7" t="inlineStr">
        <is>
          <t>Ad Spend ROAS</t>
        </is>
      </c>
      <c r="B29" s="19">
        <f>'Google Ads'!B28</f>
        <v/>
      </c>
      <c r="C29" s="19">
        <f>'Google Ads'!C28</f>
        <v/>
      </c>
    </row>
    <row r="30">
      <c r="A30" s="7" t="inlineStr">
        <is>
          <t>Cost Per Acquisition</t>
        </is>
      </c>
      <c r="B30" s="14">
        <f>'Google Ads'!B24</f>
        <v/>
      </c>
      <c r="C30" s="14">
        <f>'Google Ads'!C24</f>
        <v/>
      </c>
    </row>
    <row r="32">
      <c r="A32" s="3" t="inlineStr">
        <is>
          <t>META ADS PROJECTED PERFORMANCE</t>
        </is>
      </c>
      <c r="C32" s="20" t="inlineStr">
        <is>
          <t>MODELED ESTIMATE</t>
        </is>
      </c>
    </row>
    <row r="33">
      <c r="A33" s="6" t="inlineStr">
        <is>
          <t>Metric</t>
        </is>
      </c>
      <c r="B33" s="6" t="inlineStr">
        <is>
          <t>[Service Line 1]</t>
        </is>
      </c>
      <c r="C33" s="6" t="inlineStr">
        <is>
          <t>[Service Line 2]</t>
        </is>
      </c>
    </row>
    <row r="34">
      <c r="A34" s="7" t="inlineStr">
        <is>
          <t>Monthly Ad Budget</t>
        </is>
      </c>
      <c r="B34" s="14">
        <f>'Meta Ads'!B9</f>
        <v/>
      </c>
      <c r="C34" s="14">
        <f>'Meta Ads'!C9</f>
        <v/>
      </c>
    </row>
    <row r="35">
      <c r="A35" s="7" t="inlineStr">
        <is>
          <t>CPM</t>
        </is>
      </c>
      <c r="B35" s="15">
        <f>'Meta Ads'!B10</f>
        <v/>
      </c>
      <c r="C35" s="15">
        <f>'Meta Ads'!C10</f>
        <v/>
      </c>
    </row>
    <row r="36">
      <c r="A36" s="7" t="inlineStr">
        <is>
          <t>Effective CPC</t>
        </is>
      </c>
      <c r="B36" s="15">
        <f>'Meta Ads'!B12</f>
        <v/>
      </c>
      <c r="C36" s="15">
        <f>'Meta Ads'!C12</f>
        <v/>
      </c>
    </row>
    <row r="37">
      <c r="A37" s="7" t="inlineStr">
        <is>
          <t>Monthly Leads</t>
        </is>
      </c>
      <c r="B37" s="18">
        <f>'Meta Ads'!B27</f>
        <v/>
      </c>
      <c r="C37" s="18">
        <f>'Meta Ads'!C27</f>
        <v/>
      </c>
    </row>
    <row r="38">
      <c r="A38" s="7" t="inlineStr">
        <is>
          <t>New Clients/Month</t>
        </is>
      </c>
      <c r="B38" s="18">
        <f>'Meta Ads'!B29</f>
        <v/>
      </c>
      <c r="C38" s="18">
        <f>'Meta Ads'!C29</f>
        <v/>
      </c>
    </row>
    <row r="39">
      <c r="A39" s="7" t="inlineStr">
        <is>
          <t>Monthly Revenue</t>
        </is>
      </c>
      <c r="B39" s="14">
        <f>'Meta Ads'!B31</f>
        <v/>
      </c>
      <c r="C39" s="14">
        <f>'Meta Ads'!C31</f>
        <v/>
      </c>
    </row>
    <row r="40">
      <c r="A40" s="7" t="inlineStr">
        <is>
          <t>Ad Spend ROAS</t>
        </is>
      </c>
      <c r="B40" s="19">
        <f>'Meta Ads'!B32</f>
        <v/>
      </c>
      <c r="C40" s="19">
        <f>'Meta Ads'!C32</f>
        <v/>
      </c>
    </row>
    <row r="41">
      <c r="A41" s="7" t="inlineStr">
        <is>
          <t>Cost Per Acquisition</t>
        </is>
      </c>
      <c r="B41" s="14">
        <f>'Meta Ads'!B30</f>
        <v/>
      </c>
      <c r="C41" s="14">
        <f>'Meta Ads'!C30</f>
        <v/>
      </c>
    </row>
    <row r="43">
      <c r="A43" s="3" t="inlineStr">
        <is>
          <t>KEY TAKEAWAYS</t>
        </is>
      </c>
    </row>
    <row r="44">
      <c r="A44" s="2" t="inlineStr">
        <is>
          <t>1. [Takeaway 1: Primary channel role and foundation]</t>
        </is>
      </c>
    </row>
    <row r="45">
      <c r="A45" s="2" t="inlineStr">
        <is>
          <t>2. [Takeaway 2: Secondary channel complement]</t>
        </is>
      </c>
    </row>
    <row r="46">
      <c r="A46" s="2" t="inlineStr">
        <is>
          <t>3. [Takeaway 3: Supporting channel for demand generation]</t>
        </is>
      </c>
    </row>
    <row r="47">
      <c r="A47" s="2" t="inlineStr">
        <is>
          <t>4. [Takeaway 4: Funnel architecture across channels]</t>
        </is>
      </c>
    </row>
    <row r="48">
      <c r="A48" s="2" t="inlineStr">
        <is>
          <t>5. [Takeaway 5: Budget control and scaling strategy]</t>
        </is>
      </c>
    </row>
  </sheetData>
  <mergeCells count="10">
    <mergeCell ref="A48:E48"/>
    <mergeCell ref="A2:E2"/>
    <mergeCell ref="A10:E10"/>
    <mergeCell ref="A47:E47"/>
    <mergeCell ref="A1:E1"/>
    <mergeCell ref="A45:E45"/>
    <mergeCell ref="A46:E46"/>
    <mergeCell ref="A8:E8"/>
    <mergeCell ref="A44:E44"/>
    <mergeCell ref="A6:E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1B9B5E"/>
    <outlinePr summaryBelow="1" summaryRight="1"/>
    <pageSetUpPr/>
  </sheetPr>
  <dimension ref="A1:D43"/>
  <sheetViews>
    <sheetView workbookViewId="0">
      <selection activeCell="A1" sqref="A1"/>
    </sheetView>
  </sheetViews>
  <sheetFormatPr baseColWidth="8" defaultRowHeight="15"/>
  <cols>
    <col width="28" customWidth="1" min="1" max="1"/>
    <col width="20" customWidth="1" min="2" max="2"/>
    <col width="20" customWidth="1" min="3" max="3"/>
    <col width="25" customWidth="1" min="4" max="4"/>
  </cols>
  <sheetData>
    <row r="1">
      <c r="A1" s="1" t="inlineStr">
        <is>
          <t>[CLIENT NAME] — GOOGLE ADS PROJECTIONS</t>
        </is>
      </c>
    </row>
    <row r="2">
      <c r="A2" s="13" t="inlineStr">
        <is>
          <t>DATA-BACKED ESTIMATE — Built from real keyword data (Step 3 Market Research)</t>
        </is>
      </c>
    </row>
    <row r="3">
      <c r="A3" s="2" t="inlineStr">
        <is>
          <t>Yellow = adjustable inputs (blue text). Green = auto-calculated.</t>
        </is>
      </c>
    </row>
    <row r="5">
      <c r="A5" s="6" t="inlineStr">
        <is>
          <t>Metric</t>
        </is>
      </c>
      <c r="B5" s="6" t="inlineStr">
        <is>
          <t>[Service Line 1]</t>
        </is>
      </c>
      <c r="C5" s="6" t="inlineStr">
        <is>
          <t>[Service Line 2]</t>
        </is>
      </c>
      <c r="D5" s="6" t="inlineStr">
        <is>
          <t>Notes</t>
        </is>
      </c>
    </row>
    <row r="6">
      <c r="A6" s="21" t="inlineStr">
        <is>
          <t>DFY Management Retainer</t>
        </is>
      </c>
      <c r="B6" s="22" t="n">
        <v>0</v>
      </c>
      <c r="D6" s="9" t="inlineStr">
        <is>
          <t>Fixed monthly management fee</t>
        </is>
      </c>
    </row>
    <row r="7">
      <c r="A7" s="7" t="inlineStr"/>
    </row>
    <row r="8">
      <c r="A8" s="7" t="inlineStr">
        <is>
          <t>Avg CPC</t>
        </is>
      </c>
      <c r="B8" s="23" t="n">
        <v>0</v>
      </c>
      <c r="C8" s="23" t="n">
        <v>0</v>
      </c>
      <c r="D8" s="9" t="inlineStr">
        <is>
          <t>From Step 3 keyword data</t>
        </is>
      </c>
    </row>
    <row r="9">
      <c r="A9" s="7" t="inlineStr">
        <is>
          <t>Monthly Ad Budget</t>
        </is>
      </c>
      <c r="B9" s="22" t="n">
        <v>0</v>
      </c>
      <c r="C9" s="22" t="n">
        <v>0</v>
      </c>
      <c r="D9" s="9" t="inlineStr">
        <is>
          <t>Adjustable input</t>
        </is>
      </c>
    </row>
    <row r="10">
      <c r="A10" s="7" t="inlineStr">
        <is>
          <t>LP Conversion Rate</t>
        </is>
      </c>
      <c r="B10" s="24" t="n">
        <v>0</v>
      </c>
      <c r="C10" s="24" t="n">
        <v>0</v>
      </c>
      <c r="D10" s="9" t="inlineStr">
        <is>
          <t>Landing page visitor → lead</t>
        </is>
      </c>
    </row>
    <row r="11">
      <c r="A11" s="7" t="inlineStr">
        <is>
          <t>Sales Closing Rate</t>
        </is>
      </c>
      <c r="B11" s="24" t="n">
        <v>0</v>
      </c>
      <c r="C11" s="24" t="n">
        <v>0</v>
      </c>
      <c r="D11" s="9" t="inlineStr">
        <is>
          <t>Lead → paying client</t>
        </is>
      </c>
    </row>
    <row r="12">
      <c r="A12" s="7" t="inlineStr"/>
    </row>
    <row r="13">
      <c r="A13" s="21" t="inlineStr">
        <is>
          <t>REVENUE PER CLIENT</t>
        </is>
      </c>
    </row>
    <row r="14">
      <c r="A14" s="7" t="inlineStr">
        <is>
          <t>[Service Line 1] Price</t>
        </is>
      </c>
      <c r="B14" s="22" t="n">
        <v>0</v>
      </c>
      <c r="D14" s="9" t="inlineStr">
        <is>
          <t>From Step 5 Offer Dev</t>
        </is>
      </c>
    </row>
    <row r="15">
      <c r="A15" s="7" t="inlineStr">
        <is>
          <t>[Service Line 2] Rate</t>
        </is>
      </c>
      <c r="C15" s="22" t="n">
        <v>0</v>
      </c>
      <c r="D15" s="9" t="inlineStr">
        <is>
          <t>Hourly/per-unit rate</t>
        </is>
      </c>
    </row>
    <row r="16">
      <c r="A16" s="7" t="inlineStr">
        <is>
          <t>Est. Units/Engagement</t>
        </is>
      </c>
      <c r="C16" s="25" t="n">
        <v>0</v>
      </c>
      <c r="D16" s="9" t="inlineStr">
        <is>
          <t>Hours, sessions, units per engagement</t>
        </is>
      </c>
    </row>
    <row r="17">
      <c r="A17" s="7" t="inlineStr">
        <is>
          <t>Revenue Per Client</t>
        </is>
      </c>
      <c r="B17" s="14">
        <f>B14</f>
        <v/>
      </c>
      <c r="C17" s="14">
        <f>C15*C16</f>
        <v/>
      </c>
      <c r="D17" s="9" t="inlineStr">
        <is>
          <t>Line 1 = flat price; Line 2 = rate × units</t>
        </is>
      </c>
    </row>
    <row r="18">
      <c r="A18" s="7" t="inlineStr"/>
    </row>
    <row r="19">
      <c r="A19" s="21" t="inlineStr">
        <is>
          <t>PROJECTED PERFORMANCE</t>
        </is>
      </c>
    </row>
    <row r="20">
      <c r="A20" s="7" t="inlineStr">
        <is>
          <t>Monthly Clicks</t>
        </is>
      </c>
      <c r="B20" s="16">
        <f>IF(B8&gt;0,B9/B8,0)</f>
        <v/>
      </c>
      <c r="C20" s="16">
        <f>IF(C8&gt;0,C9/C8,0)</f>
        <v/>
      </c>
      <c r="D20" s="9">
        <f> Budget ÷ CPC</f>
        <v/>
      </c>
    </row>
    <row r="21">
      <c r="A21" s="7" t="inlineStr">
        <is>
          <t>Monthly Leads</t>
        </is>
      </c>
      <c r="B21" s="18">
        <f>B20*B10</f>
        <v/>
      </c>
      <c r="C21" s="18">
        <f>C20*C10</f>
        <v/>
      </c>
      <c r="D21" s="9">
        <f> Clicks × Conv Rate</f>
        <v/>
      </c>
    </row>
    <row r="22">
      <c r="A22" s="7" t="inlineStr">
        <is>
          <t>Cost Per Lead</t>
        </is>
      </c>
      <c r="B22" s="15">
        <f>IF(B21&gt;0,B9/B21,0)</f>
        <v/>
      </c>
      <c r="C22" s="15">
        <f>IF(C21&gt;0,C9/C21,0)</f>
        <v/>
      </c>
      <c r="D22" s="9">
        <f> Budget ÷ Leads</f>
        <v/>
      </c>
    </row>
    <row r="23">
      <c r="A23" s="7" t="inlineStr">
        <is>
          <t>New Clients/Month</t>
        </is>
      </c>
      <c r="B23" s="18">
        <f>B21*B11</f>
        <v/>
      </c>
      <c r="C23" s="18">
        <f>C21*C11</f>
        <v/>
      </c>
      <c r="D23" s="9">
        <f> Leads × Close Rate</f>
        <v/>
      </c>
    </row>
    <row r="24">
      <c r="A24" s="7" t="inlineStr">
        <is>
          <t>Cost Per Acquisition</t>
        </is>
      </c>
      <c r="B24" s="15">
        <f>IF(B23&gt;0,B9/B23,0)</f>
        <v/>
      </c>
      <c r="C24" s="15">
        <f>IF(C23&gt;0,C9/C23,0)</f>
        <v/>
      </c>
      <c r="D24" s="9">
        <f> Ad Spend ÷ Clients</f>
        <v/>
      </c>
    </row>
    <row r="25">
      <c r="A25" s="7" t="inlineStr"/>
    </row>
    <row r="26">
      <c r="A26" s="21" t="inlineStr">
        <is>
          <t>REVENUE &amp; PROFITABILITY</t>
        </is>
      </c>
    </row>
    <row r="27">
      <c r="A27" s="7" t="inlineStr">
        <is>
          <t>Monthly Revenue</t>
        </is>
      </c>
      <c r="B27" s="14">
        <f>B23*B17</f>
        <v/>
      </c>
      <c r="C27" s="14">
        <f>C23*C17</f>
        <v/>
      </c>
      <c r="D27" s="9">
        <f> Clients × Rev/Client</f>
        <v/>
      </c>
    </row>
    <row r="28">
      <c r="A28" s="7" t="inlineStr">
        <is>
          <t>Ad Spend ROAS</t>
        </is>
      </c>
      <c r="B28" s="19">
        <f>IF(B9&gt;0,B27/B9,0)</f>
        <v/>
      </c>
      <c r="C28" s="19">
        <f>IF(C9&gt;0,C27/C9,0)</f>
        <v/>
      </c>
      <c r="D28" s="9">
        <f> Revenue ÷ Ad Spend only</f>
        <v/>
      </c>
    </row>
    <row r="29">
      <c r="A29" s="7" t="inlineStr">
        <is>
          <t>Monthly Profit (ad spend only)</t>
        </is>
      </c>
      <c r="B29" s="14">
        <f>B27-B9</f>
        <v/>
      </c>
      <c r="C29" s="14">
        <f>C27-C9</f>
        <v/>
      </c>
      <c r="D29" s="9">
        <f> Revenue − Ad Spend</f>
        <v/>
      </c>
    </row>
    <row r="30">
      <c r="A30" s="7" t="inlineStr">
        <is>
          <t>Profit Margin (ad spend only)</t>
        </is>
      </c>
      <c r="B30" s="17">
        <f>IF(B27&gt;0,B29/B27,0)</f>
        <v/>
      </c>
      <c r="C30" s="17">
        <f>IF(C27&gt;0,C29/C27,0)</f>
        <v/>
      </c>
    </row>
    <row r="32">
      <c r="A32" s="7" t="inlineStr"/>
    </row>
    <row r="33">
      <c r="A33" s="21" t="inlineStr">
        <is>
          <t>COMBINED CHANNEL PROFITABILITY</t>
        </is>
      </c>
    </row>
    <row r="34">
      <c r="A34" s="6" t="inlineStr">
        <is>
          <t>Metric</t>
        </is>
      </c>
      <c r="B34" s="6" t="inlineStr"/>
      <c r="C34" s="6" t="inlineStr"/>
      <c r="D34" s="6" t="inlineStr">
        <is>
          <t>Combined</t>
        </is>
      </c>
    </row>
    <row r="35">
      <c r="A35" s="7" t="inlineStr">
        <is>
          <t>Total Ad Spend</t>
        </is>
      </c>
      <c r="D35" s="14">
        <f>B9+C9</f>
        <v/>
      </c>
    </row>
    <row r="36">
      <c r="A36" s="7" t="inlineStr">
        <is>
          <t>Management Retainer</t>
        </is>
      </c>
      <c r="D36" s="14">
        <f>B6</f>
        <v/>
      </c>
    </row>
    <row r="37">
      <c r="A37" s="7" t="inlineStr">
        <is>
          <t>Total Investment</t>
        </is>
      </c>
      <c r="D37" s="26">
        <f>D35+D36</f>
        <v/>
      </c>
    </row>
    <row r="38">
      <c r="A38" s="7" t="inlineStr">
        <is>
          <t>Total Revenue</t>
        </is>
      </c>
      <c r="D38" s="14">
        <f>B27+C27</f>
        <v/>
      </c>
    </row>
    <row r="39">
      <c r="A39" s="7" t="inlineStr">
        <is>
          <t>Total New Clients</t>
        </is>
      </c>
      <c r="D39" s="18">
        <f>B23+C23</f>
        <v/>
      </c>
    </row>
    <row r="40">
      <c r="A40" s="7" t="inlineStr">
        <is>
          <t>CPA (total investment)</t>
        </is>
      </c>
      <c r="D40" s="15">
        <f>IF(D39&gt;0,D37/D39,0)</f>
        <v/>
      </c>
    </row>
    <row r="41">
      <c r="A41" s="7" t="inlineStr">
        <is>
          <t>True ROAS (incl. retainer)</t>
        </is>
      </c>
      <c r="D41" s="27">
        <f>IF(D37&gt;0,D38/D37,0)</f>
        <v/>
      </c>
    </row>
    <row r="42">
      <c r="A42" s="7" t="inlineStr">
        <is>
          <t>Profit (after all costs)</t>
        </is>
      </c>
      <c r="D42" s="14">
        <f>D38-D37</f>
        <v/>
      </c>
    </row>
    <row r="43">
      <c r="A43" s="7" t="inlineStr">
        <is>
          <t>Profit Margin</t>
        </is>
      </c>
      <c r="D43" s="17">
        <f>IF(D38&gt;0,D42/D38,0)</f>
        <v/>
      </c>
    </row>
  </sheetData>
  <mergeCells count="2">
    <mergeCell ref="A1:D1"/>
    <mergeCell ref="A2:D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D4880F"/>
    <outlinePr summaryBelow="1" summaryRight="1"/>
    <pageSetUpPr/>
  </sheetPr>
  <dimension ref="A1:D54"/>
  <sheetViews>
    <sheetView workbookViewId="0">
      <selection activeCell="A1" sqref="A1"/>
    </sheetView>
  </sheetViews>
  <sheetFormatPr baseColWidth="8" defaultRowHeight="15"/>
  <cols>
    <col width="28" customWidth="1" min="1" max="1"/>
    <col width="20" customWidth="1" min="2" max="2"/>
    <col width="20" customWidth="1" min="3" max="3"/>
    <col width="25" customWidth="1" min="4" max="4"/>
  </cols>
  <sheetData>
    <row r="1">
      <c r="A1" s="1" t="inlineStr">
        <is>
          <t>[CLIENT NAME] — META ADS PROJECTIONS</t>
        </is>
      </c>
    </row>
    <row r="2">
      <c r="A2" s="20" t="inlineStr">
        <is>
          <t>MODELED ESTIMATE — Built from industry CPM/CTR benchmarks</t>
        </is>
      </c>
    </row>
    <row r="3">
      <c r="A3" s="2" t="inlineStr">
        <is>
          <t>Yellow = adjustable inputs (blue text). Green = auto-calculated.</t>
        </is>
      </c>
    </row>
    <row r="5">
      <c r="A5" s="6" t="inlineStr">
        <is>
          <t>Metric</t>
        </is>
      </c>
      <c r="B5" s="6" t="inlineStr">
        <is>
          <t>[Service Line 1]</t>
        </is>
      </c>
      <c r="C5" s="6" t="inlineStr">
        <is>
          <t>[Service Line 2]</t>
        </is>
      </c>
      <c r="D5" s="6" t="inlineStr">
        <is>
          <t>Notes</t>
        </is>
      </c>
    </row>
    <row r="6">
      <c r="A6" s="21" t="inlineStr">
        <is>
          <t>DFY Management Retainer</t>
        </is>
      </c>
      <c r="B6" s="22" t="n">
        <v>0</v>
      </c>
      <c r="D6" s="9" t="inlineStr">
        <is>
          <t>Fixed monthly management fee</t>
        </is>
      </c>
    </row>
    <row r="7">
      <c r="A7" s="7" t="inlineStr"/>
    </row>
    <row r="8">
      <c r="A8" s="7" t="inlineStr">
        <is>
          <t>Daily Ad Budget</t>
        </is>
      </c>
      <c r="B8" s="22" t="n">
        <v>0</v>
      </c>
      <c r="C8" s="22" t="n">
        <v>0</v>
      </c>
      <c r="D8" s="9" t="inlineStr">
        <is>
          <t>Per-day ad spend</t>
        </is>
      </c>
    </row>
    <row r="9">
      <c r="A9" s="7" t="inlineStr">
        <is>
          <t>Monthly Ad Budget</t>
        </is>
      </c>
      <c r="B9" s="14">
        <f>B8*30</f>
        <v/>
      </c>
      <c r="C9" s="14">
        <f>C8*30</f>
        <v/>
      </c>
      <c r="D9" s="9">
        <f> Daily × 30</f>
        <v/>
      </c>
    </row>
    <row r="10">
      <c r="A10" s="7" t="inlineStr">
        <is>
          <t>CPM</t>
        </is>
      </c>
      <c r="B10" s="23" t="n">
        <v>0</v>
      </c>
      <c r="C10" s="23" t="n">
        <v>0</v>
      </c>
      <c r="D10" s="9" t="inlineStr">
        <is>
          <t>Cost per 1,000 impressions (benchmark)</t>
        </is>
      </c>
    </row>
    <row r="11">
      <c r="A11" s="7" t="inlineStr">
        <is>
          <t>CTR</t>
        </is>
      </c>
      <c r="B11" s="24" t="n">
        <v>0</v>
      </c>
      <c r="C11" s="24" t="n">
        <v>0</v>
      </c>
      <c r="D11" s="9" t="inlineStr">
        <is>
          <t>Click-through rate (benchmark)</t>
        </is>
      </c>
    </row>
    <row r="12">
      <c r="A12" s="7" t="inlineStr">
        <is>
          <t>Effective CPC</t>
        </is>
      </c>
      <c r="B12" s="15">
        <f>IF(B11&gt;0,B10/(B11*1000),0)</f>
        <v/>
      </c>
      <c r="C12" s="15">
        <f>IF(C11&gt;0,C10/(C11*1000),0)</f>
        <v/>
      </c>
      <c r="D12" s="9">
        <f> CPM ÷ (CTR × 1000)</f>
        <v/>
      </c>
    </row>
    <row r="13">
      <c r="A13" s="7" t="inlineStr"/>
    </row>
    <row r="14">
      <c r="A14" s="21" t="inlineStr">
        <is>
          <t>CONVERSION INPUTS</t>
        </is>
      </c>
    </row>
    <row r="15">
      <c r="A15" s="7" t="inlineStr">
        <is>
          <t>LP Conversion Rate</t>
        </is>
      </c>
      <c r="B15" s="24" t="n">
        <v>0</v>
      </c>
      <c r="C15" s="24" t="n">
        <v>0</v>
      </c>
      <c r="D15" s="9" t="inlineStr">
        <is>
          <t>Landing page visitor → lead</t>
        </is>
      </c>
    </row>
    <row r="16">
      <c r="A16" s="7" t="inlineStr">
        <is>
          <t>Sales Closing Rate</t>
        </is>
      </c>
      <c r="B16" s="24" t="n">
        <v>0</v>
      </c>
      <c r="C16" s="24" t="n">
        <v>0</v>
      </c>
      <c r="D16" s="9" t="inlineStr">
        <is>
          <t>Lead → paying client</t>
        </is>
      </c>
    </row>
    <row r="17">
      <c r="A17" s="7" t="inlineStr"/>
    </row>
    <row r="18">
      <c r="A18" s="21" t="inlineStr">
        <is>
          <t>REVENUE</t>
        </is>
      </c>
    </row>
    <row r="19">
      <c r="A19" s="7" t="inlineStr">
        <is>
          <t>Revenue Per Client</t>
        </is>
      </c>
      <c r="B19" s="22" t="n">
        <v>0</v>
      </c>
      <c r="C19" s="22" t="n">
        <v>0</v>
      </c>
      <c r="D19" s="9" t="inlineStr">
        <is>
          <t>From Step 5 Offer Dev</t>
        </is>
      </c>
    </row>
    <row r="20">
      <c r="A20" s="7" t="inlineStr"/>
    </row>
    <row r="21">
      <c r="A21" s="21" t="inlineStr">
        <is>
          <t>PROJECTED PERFORMANCE</t>
        </is>
      </c>
    </row>
    <row r="22">
      <c r="A22" s="7" t="inlineStr">
        <is>
          <t>Monthly Impressions</t>
        </is>
      </c>
      <c r="B22" s="16">
        <f>IF(B10&gt;0,B9/B10*1000,0)</f>
        <v/>
      </c>
      <c r="C22" s="16">
        <f>IF(C10&gt;0,C9/C10*1000,0)</f>
        <v/>
      </c>
      <c r="D22" s="9">
        <f> Budget ÷ CPM × 1000</f>
        <v/>
      </c>
    </row>
    <row r="23">
      <c r="A23" s="7" t="inlineStr">
        <is>
          <t>Monthly Clicks</t>
        </is>
      </c>
      <c r="B23" s="16">
        <f>B22*B11</f>
        <v/>
      </c>
      <c r="C23" s="16">
        <f>C22*C11</f>
        <v/>
      </c>
      <c r="D23" s="9">
        <f> Impressions × CTR</f>
        <v/>
      </c>
    </row>
    <row r="24">
      <c r="A24" s="7" t="inlineStr">
        <is>
          <t>Cost Per Click</t>
        </is>
      </c>
      <c r="B24" s="15">
        <f>IF(B23&gt;0,B9/B23,0)</f>
        <v/>
      </c>
      <c r="C24" s="15">
        <f>IF(C23&gt;0,C9/C23,0)</f>
        <v/>
      </c>
    </row>
    <row r="25">
      <c r="A25" s="7" t="inlineStr"/>
    </row>
    <row r="26">
      <c r="A26" s="21" t="inlineStr">
        <is>
          <t>CONVERSION FUNNEL</t>
        </is>
      </c>
    </row>
    <row r="27">
      <c r="A27" s="7" t="inlineStr">
        <is>
          <t>Monthly Leads</t>
        </is>
      </c>
      <c r="B27" s="18">
        <f>B23*B15</f>
        <v/>
      </c>
      <c r="C27" s="18">
        <f>C23*C15</f>
        <v/>
      </c>
      <c r="D27" s="9">
        <f> Clicks × LP Conv Rate</f>
        <v/>
      </c>
    </row>
    <row r="28">
      <c r="A28" s="7" t="inlineStr">
        <is>
          <t>Cost Per Lead</t>
        </is>
      </c>
      <c r="B28" s="15">
        <f>IF(B27&gt;0,B9/B27,0)</f>
        <v/>
      </c>
      <c r="C28" s="15">
        <f>IF(C27&gt;0,C9/C27,0)</f>
        <v/>
      </c>
    </row>
    <row r="29">
      <c r="A29" s="7" t="inlineStr">
        <is>
          <t>New Clients/Month</t>
        </is>
      </c>
      <c r="B29" s="18">
        <f>B27*B16</f>
        <v/>
      </c>
      <c r="C29" s="18">
        <f>C27*C16</f>
        <v/>
      </c>
      <c r="D29" s="9">
        <f> Leads × Close Rate</f>
        <v/>
      </c>
    </row>
    <row r="30">
      <c r="A30" s="7" t="inlineStr">
        <is>
          <t>Cost Per Acquisition</t>
        </is>
      </c>
      <c r="B30" s="15">
        <f>IF(B29&gt;0,B9/B29,0)</f>
        <v/>
      </c>
      <c r="C30" s="15">
        <f>IF(C29&gt;0,C9/C29,0)</f>
        <v/>
      </c>
      <c r="D30" s="9">
        <f> Ad Spend ÷ Clients</f>
        <v/>
      </c>
    </row>
    <row r="31">
      <c r="A31" s="7" t="inlineStr">
        <is>
          <t>Monthly Revenue</t>
        </is>
      </c>
      <c r="B31" s="14">
        <f>B29*B19</f>
        <v/>
      </c>
      <c r="C31" s="14">
        <f>C29*C19</f>
        <v/>
      </c>
      <c r="D31" s="9">
        <f> Clients × Rev/Client</f>
        <v/>
      </c>
    </row>
    <row r="32">
      <c r="A32" s="7" t="inlineStr">
        <is>
          <t>Ad Spend ROAS</t>
        </is>
      </c>
      <c r="B32" s="19">
        <f>IF(B9&gt;0,B31/B9,0)</f>
        <v/>
      </c>
      <c r="C32" s="19">
        <f>IF(C9&gt;0,C31/C9,0)</f>
        <v/>
      </c>
      <c r="D32" s="9">
        <f> Revenue ÷ Ad Spend only</f>
        <v/>
      </c>
    </row>
    <row r="33">
      <c r="A33" s="7" t="inlineStr">
        <is>
          <t>Monthly Profit (ad spend only)</t>
        </is>
      </c>
      <c r="B33" s="14">
        <f>B31-B9</f>
        <v/>
      </c>
      <c r="C33" s="14">
        <f>C31-C9</f>
        <v/>
      </c>
    </row>
    <row r="34">
      <c r="A34" s="7" t="inlineStr">
        <is>
          <t>Profit Margin (ad spend only)</t>
        </is>
      </c>
      <c r="B34" s="17">
        <f>IF(B31&gt;0,B33/B31,0)</f>
        <v/>
      </c>
      <c r="C34" s="17">
        <f>IF(C31&gt;0,C33/C31,0)</f>
        <v/>
      </c>
    </row>
    <row r="36">
      <c r="A36" s="7" t="inlineStr"/>
    </row>
    <row r="37">
      <c r="A37" s="21" t="inlineStr">
        <is>
          <t>COMBINED CHANNEL PROFITABILITY</t>
        </is>
      </c>
    </row>
    <row r="38">
      <c r="A38" s="6" t="inlineStr">
        <is>
          <t>Metric</t>
        </is>
      </c>
      <c r="B38" s="6" t="inlineStr"/>
      <c r="C38" s="6" t="inlineStr"/>
      <c r="D38" s="6" t="inlineStr">
        <is>
          <t>Combined</t>
        </is>
      </c>
    </row>
    <row r="39">
      <c r="A39" s="7" t="inlineStr">
        <is>
          <t>Total Ad Spend</t>
        </is>
      </c>
      <c r="D39" s="14">
        <f>B9+C9</f>
        <v/>
      </c>
    </row>
    <row r="40">
      <c r="A40" s="7" t="inlineStr">
        <is>
          <t>Management Retainer</t>
        </is>
      </c>
      <c r="D40" s="14">
        <f>B6</f>
        <v/>
      </c>
    </row>
    <row r="41">
      <c r="A41" s="7" t="inlineStr">
        <is>
          <t>Total Investment</t>
        </is>
      </c>
      <c r="D41" s="26">
        <f>D39+D40</f>
        <v/>
      </c>
    </row>
    <row r="42">
      <c r="A42" s="7" t="inlineStr">
        <is>
          <t>Total Revenue</t>
        </is>
      </c>
      <c r="D42" s="14">
        <f>B31+C31</f>
        <v/>
      </c>
    </row>
    <row r="43">
      <c r="A43" s="7" t="inlineStr">
        <is>
          <t>Total New Clients</t>
        </is>
      </c>
      <c r="D43" s="18">
        <f>B29+C29</f>
        <v/>
      </c>
    </row>
    <row r="44">
      <c r="A44" s="7" t="inlineStr">
        <is>
          <t>CPA (total investment)</t>
        </is>
      </c>
      <c r="D44" s="15">
        <f>IF(D43&gt;0,D41/D43,0)</f>
        <v/>
      </c>
    </row>
    <row r="45">
      <c r="A45" s="7" t="inlineStr">
        <is>
          <t>True ROAS (incl. retainer)</t>
        </is>
      </c>
      <c r="D45" s="27">
        <f>IF(D41&gt;0,D42/D41,0)</f>
        <v/>
      </c>
    </row>
    <row r="46">
      <c r="A46" s="7" t="inlineStr">
        <is>
          <t>Profit (after all costs)</t>
        </is>
      </c>
      <c r="D46" s="14">
        <f>D42-D41</f>
        <v/>
      </c>
    </row>
    <row r="47">
      <c r="A47" s="7" t="inlineStr">
        <is>
          <t>Profit Margin</t>
        </is>
      </c>
      <c r="D47" s="17">
        <f>IF(D42&gt;0,D46/D42,0)</f>
        <v/>
      </c>
    </row>
    <row r="49">
      <c r="A49" s="3" t="inlineStr">
        <is>
          <t>BENCHMARK SOURCES</t>
        </is>
      </c>
    </row>
    <row r="50">
      <c r="A50" s="6" t="inlineStr">
        <is>
          <t>Source</t>
        </is>
      </c>
      <c r="B50" s="6" t="inlineStr">
        <is>
          <t>Metric</t>
        </is>
      </c>
      <c r="C50" s="6" t="inlineStr">
        <is>
          <t>Value</t>
        </is>
      </c>
      <c r="D50" s="6" t="inlineStr">
        <is>
          <t>Notes</t>
        </is>
      </c>
    </row>
    <row r="51">
      <c r="A51" s="7" t="inlineStr">
        <is>
          <t>[Source 1]</t>
        </is>
      </c>
      <c r="B51" s="7" t="inlineStr">
        <is>
          <t>CPM</t>
        </is>
      </c>
      <c r="C51" s="7" t="inlineStr">
        <is>
          <t>[range]</t>
        </is>
      </c>
      <c r="D51" s="9" t="inlineStr">
        <is>
          <t>[industry/context]</t>
        </is>
      </c>
    </row>
    <row r="52">
      <c r="A52" s="7" t="inlineStr">
        <is>
          <t>[Source 2]</t>
        </is>
      </c>
      <c r="B52" s="7" t="inlineStr">
        <is>
          <t>CTR</t>
        </is>
      </c>
      <c r="C52" s="7" t="inlineStr">
        <is>
          <t>[range]</t>
        </is>
      </c>
      <c r="D52" s="9" t="inlineStr">
        <is>
          <t>[industry/context]</t>
        </is>
      </c>
    </row>
    <row r="53">
      <c r="A53" s="7" t="inlineStr">
        <is>
          <t>[Source 3]</t>
        </is>
      </c>
      <c r="B53" s="7" t="inlineStr">
        <is>
          <t>LP Conv Rate</t>
        </is>
      </c>
      <c r="C53" s="7" t="inlineStr">
        <is>
          <t>[range]</t>
        </is>
      </c>
      <c r="D53" s="9" t="inlineStr">
        <is>
          <t>[industry/context]</t>
        </is>
      </c>
    </row>
    <row r="54">
      <c r="A54" s="7" t="inlineStr">
        <is>
          <t>[Source 4]</t>
        </is>
      </c>
      <c r="B54" s="7" t="inlineStr">
        <is>
          <t>Close Rate</t>
        </is>
      </c>
      <c r="C54" s="7" t="inlineStr">
        <is>
          <t>[range]</t>
        </is>
      </c>
      <c r="D54" s="9" t="inlineStr">
        <is>
          <t>[industry/context]</t>
        </is>
      </c>
    </row>
  </sheetData>
  <mergeCells count="2">
    <mergeCell ref="A1:D1"/>
    <mergeCell ref="A2:D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1B9B5E"/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30" customWidth="1" min="1" max="1"/>
    <col width="12" customWidth="1" min="2" max="2"/>
    <col width="15" customWidth="1" min="3" max="3"/>
    <col width="18" customWidth="1" min="4" max="4"/>
    <col width="25" customWidth="1" min="5" max="5"/>
  </cols>
  <sheetData>
    <row r="1">
      <c r="A1" s="1" t="inlineStr">
        <is>
          <t>[CLIENT NAME] — CONTENT &amp; SEO FOUNDATION</t>
        </is>
      </c>
    </row>
    <row r="2">
      <c r="A2" s="2" t="inlineStr">
        <is>
          <t>Page inventory and SEO services to support channel strategy.</t>
        </is>
      </c>
    </row>
    <row r="4">
      <c r="A4" s="3" t="inlineStr">
        <is>
          <t>CONTENT MARKETING</t>
        </is>
      </c>
    </row>
    <row r="5">
      <c r="A5" s="6" t="inlineStr">
        <is>
          <t>Deliverable</t>
        </is>
      </c>
      <c r="B5" s="6" t="inlineStr">
        <is>
          <t>Pages</t>
        </is>
      </c>
      <c r="C5" s="6" t="inlineStr">
        <is>
          <t>Cost/Page</t>
        </is>
      </c>
      <c r="D5" s="6" t="inlineStr">
        <is>
          <t>Subtotal</t>
        </is>
      </c>
      <c r="E5" s="6" t="inlineStr">
        <is>
          <t>Notes</t>
        </is>
      </c>
    </row>
    <row r="6">
      <c r="A6" s="7" t="inlineStr">
        <is>
          <t>[Page Category 1]</t>
        </is>
      </c>
      <c r="B6" s="25" t="n">
        <v>0</v>
      </c>
      <c r="C6" s="22" t="n">
        <v>0</v>
      </c>
      <c r="D6" s="14">
        <f>B6*C6</f>
        <v/>
      </c>
      <c r="E6" s="9" t="inlineStr">
        <is>
          <t>[description]</t>
        </is>
      </c>
    </row>
    <row r="7">
      <c r="A7" s="7" t="inlineStr">
        <is>
          <t>[Page Category 2]</t>
        </is>
      </c>
      <c r="B7" s="25" t="n">
        <v>0</v>
      </c>
      <c r="C7" s="22" t="n">
        <v>0</v>
      </c>
      <c r="D7" s="14">
        <f>B7*C7</f>
        <v/>
      </c>
      <c r="E7" s="9" t="inlineStr">
        <is>
          <t>[description]</t>
        </is>
      </c>
    </row>
    <row r="8">
      <c r="A8" s="7" t="inlineStr">
        <is>
          <t>[Page Category 3]</t>
        </is>
      </c>
      <c r="B8" s="25" t="n">
        <v>0</v>
      </c>
      <c r="C8" s="22" t="n">
        <v>0</v>
      </c>
      <c r="D8" s="14">
        <f>B8*C8</f>
        <v/>
      </c>
      <c r="E8" s="9" t="inlineStr">
        <is>
          <t>[description]</t>
        </is>
      </c>
    </row>
    <row r="9">
      <c r="A9" s="7" t="inlineStr">
        <is>
          <t>[Page Category 4]</t>
        </is>
      </c>
      <c r="B9" s="25" t="n">
        <v>0</v>
      </c>
      <c r="C9" s="22" t="n">
        <v>0</v>
      </c>
      <c r="D9" s="14">
        <f>B9*C9</f>
        <v/>
      </c>
      <c r="E9" s="9" t="inlineStr">
        <is>
          <t>[description]</t>
        </is>
      </c>
    </row>
    <row r="10">
      <c r="A10" s="7" t="inlineStr">
        <is>
          <t>[Page Category 5]</t>
        </is>
      </c>
      <c r="B10" s="25" t="n">
        <v>0</v>
      </c>
      <c r="C10" s="22" t="n">
        <v>0</v>
      </c>
      <c r="D10" s="14">
        <f>B10*C10</f>
        <v/>
      </c>
      <c r="E10" s="9" t="inlineStr">
        <is>
          <t>[description]</t>
        </is>
      </c>
    </row>
    <row r="11">
      <c r="A11" s="7" t="inlineStr">
        <is>
          <t>[Page Category 6]</t>
        </is>
      </c>
      <c r="B11" s="25" t="n">
        <v>0</v>
      </c>
      <c r="C11" s="22" t="n">
        <v>0</v>
      </c>
      <c r="D11" s="14">
        <f>B11*C11</f>
        <v/>
      </c>
      <c r="E11" s="9" t="inlineStr">
        <is>
          <t>[description]</t>
        </is>
      </c>
    </row>
    <row r="12">
      <c r="A12" s="10" t="inlineStr">
        <is>
          <t>Content Marketing Subtotal</t>
        </is>
      </c>
      <c r="B12" s="28">
        <f>SUM(B6:B11)</f>
        <v/>
      </c>
      <c r="D12" s="12">
        <f>SUM(D6:D11)</f>
        <v/>
      </c>
    </row>
    <row r="14">
      <c r="A14" s="3" t="inlineStr">
        <is>
          <t>SEO SERVICES</t>
        </is>
      </c>
    </row>
    <row r="15">
      <c r="A15" s="6" t="inlineStr">
        <is>
          <t>Service</t>
        </is>
      </c>
      <c r="B15" s="6" t="inlineStr">
        <is>
          <t>Details</t>
        </is>
      </c>
      <c r="C15" s="6" t="inlineStr">
        <is>
          <t>Monthly Cost</t>
        </is>
      </c>
      <c r="D15" s="6" t="inlineStr"/>
      <c r="E15" s="6" t="inlineStr"/>
    </row>
    <row r="16">
      <c r="A16" s="7" t="inlineStr">
        <is>
          <t>[Service 1]</t>
        </is>
      </c>
      <c r="B16" s="9" t="inlineStr">
        <is>
          <t>[description]</t>
        </is>
      </c>
      <c r="C16" s="22" t="n">
        <v>0</v>
      </c>
    </row>
    <row r="17">
      <c r="A17" s="7" t="inlineStr">
        <is>
          <t>[Service 2]</t>
        </is>
      </c>
      <c r="B17" s="9" t="inlineStr">
        <is>
          <t>[description]</t>
        </is>
      </c>
      <c r="C17" s="22" t="n">
        <v>0</v>
      </c>
    </row>
    <row r="18">
      <c r="A18" s="7" t="inlineStr">
        <is>
          <t>[Service 3]</t>
        </is>
      </c>
      <c r="B18" s="9" t="inlineStr">
        <is>
          <t>[description]</t>
        </is>
      </c>
      <c r="C18" s="22" t="n">
        <v>0</v>
      </c>
    </row>
    <row r="20">
      <c r="A20" s="3" t="inlineStr">
        <is>
          <t>ONE-TIME COSTS</t>
        </is>
      </c>
    </row>
    <row r="21">
      <c r="A21" s="7" t="inlineStr">
        <is>
          <t>[One-time service]</t>
        </is>
      </c>
      <c r="C21" s="22" t="n">
        <v>0</v>
      </c>
      <c r="D21" s="9" t="inlineStr">
        <is>
          <t>[description]</t>
        </is>
      </c>
    </row>
    <row r="23">
      <c r="A23" s="3" t="inlineStr">
        <is>
          <t>INVESTMENT SUMMARY</t>
        </is>
      </c>
    </row>
    <row r="24">
      <c r="A24" s="21" t="inlineStr">
        <is>
          <t>Content Marketing (one-time)</t>
        </is>
      </c>
      <c r="C24" s="14">
        <f>D12</f>
        <v/>
      </c>
    </row>
    <row r="25">
      <c r="A25" s="7" t="inlineStr">
        <is>
          <t>One-time Costs</t>
        </is>
      </c>
      <c r="C25" s="14">
        <f>C21</f>
        <v/>
      </c>
    </row>
    <row r="26">
      <c r="A26" s="10" t="inlineStr">
        <is>
          <t>Total One-Time Investment</t>
        </is>
      </c>
      <c r="C26" s="12">
        <f>C24+C25</f>
        <v/>
      </c>
    </row>
    <row r="28">
      <c r="A28" s="7" t="inlineStr">
        <is>
          <t>Monthly SEO Services</t>
        </is>
      </c>
      <c r="C28" s="14">
        <f>SUM(C16:C18)</f>
        <v/>
      </c>
      <c r="D28" s="9" t="inlineStr">
        <is>
          <t>Ongoing monthly cost</t>
        </is>
      </c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2026-04-07T01:11:24Z</dcterms:created>
  <dcterms:modified xmlns:dcterms="http://purl.org/dc/terms/" xmlns:xsi="http://www.w3.org/2001/XMLSchema-instance" xsi:type="dcterms:W3CDTF">2026-04-07T01:11:24Z</dcterms:modified>
</cp:coreProperties>
</file>